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0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<sst xmlns="http://schemas.openxmlformats.org/spreadsheetml/2006/main" count="10" uniqueCount="10">
  <si>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Impact Velocity (v, m/s)</t>
  </si>
  <si>
    <t xml:space="preserve">Separation Index (η)</t>
  </si>
  <si>
    <t xml:space="preserve">Notes / Reference Points</t>
  </si>
  <si>
    <t xml:space="preserve">Threshold X</t>
  </si>
  <si>
    <t xml:space="preserve">Threshold Y</t>
  </si>
  <si>
    <t xml:space="preserve">Target X</t>
  </si>
  <si>
    <t xml:space="preserve">Target Y</t>
  </si>
  <si>
    <t xml:space="preserve">CRITICAL THRESHOLD (η = 1.0)</t>
  </si>
  <si>
    <t xml:space="preserve">OPERATIONAL TARGET (η = 1.05)</t>
  </si>
  <si>
    <t xml:space="preserve">Note: η = k_Y[(m v²)/(2 d τ_ult A)]; theoretical curve modelled here as η = v² (k_Y and geometric/material terms normalised to unity). Critical threshold at η = 1.0 (v = 1.0 m/s); operational target at η = 1.05 (v ≈ 1.025 m/s).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</si>
</sst>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Theoretical Efficiency Mapping and Velocity-Dependent Threshold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"Separation Index (η = v²)"</c:f>
              <c:strCache>
                <c:ptCount val="1"/>
                <c:pt idx="0">
                  <c:v>Separation Index (η = v²)</c:v>
                </c:pt>
              </c:strCache>
            </c:strRef>
          </c:tx>
          <c:spPr>
            <a:solidFill>
              <a:srgbClr val="1e8449"/>
            </a:solidFill>
            <a:ln w="2484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10 Data'!$A$2:$A$31</c:f>
              <c:numCache>
                <c:formatCode>0.000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1.025</c:v>
                </c:pt>
                <c:pt idx="22">
                  <c:v>1.05</c:v>
                </c:pt>
                <c:pt idx="23">
                  <c:v>1.1</c:v>
                </c:pt>
                <c:pt idx="24">
                  <c:v>1.15</c:v>
                </c:pt>
                <c:pt idx="25">
                  <c:v>1.2</c:v>
                </c:pt>
                <c:pt idx="26">
                  <c:v>1.25</c:v>
                </c:pt>
                <c:pt idx="27">
                  <c:v>1.3</c:v>
                </c:pt>
                <c:pt idx="28">
                  <c:v>1.35</c:v>
                </c:pt>
                <c:pt idx="29">
                  <c:v>1.4</c:v>
                </c:pt>
              </c:numCache>
            </c:numRef>
          </c:xVal>
          <c:yVal>
            <c:numRef>
              <c:f>'Figure 10 Data'!$B$2:$B$31</c:f>
              <c:numCache>
                <c:formatCode>0.000</c:formatCode>
                <c:ptCount val="30"/>
                <c:pt idx="0">
                  <c:v>0</c:v>
                </c:pt>
                <c:pt idx="1">
                  <c:v>0.0025</c:v>
                </c:pt>
                <c:pt idx="2">
                  <c:v>0.01</c:v>
                </c:pt>
                <c:pt idx="3">
                  <c:v>0.0225</c:v>
                </c:pt>
                <c:pt idx="4">
                  <c:v>0.04</c:v>
                </c:pt>
                <c:pt idx="5">
                  <c:v>0.0625</c:v>
                </c:pt>
                <c:pt idx="6">
                  <c:v>0.09</c:v>
                </c:pt>
                <c:pt idx="7">
                  <c:v>0.1225</c:v>
                </c:pt>
                <c:pt idx="8">
                  <c:v>0.16</c:v>
                </c:pt>
                <c:pt idx="9">
                  <c:v>0.2025</c:v>
                </c:pt>
                <c:pt idx="10">
                  <c:v>0.25</c:v>
                </c:pt>
                <c:pt idx="11">
                  <c:v>0.3025</c:v>
                </c:pt>
                <c:pt idx="12">
                  <c:v>0.36</c:v>
                </c:pt>
                <c:pt idx="13">
                  <c:v>0.4225</c:v>
                </c:pt>
                <c:pt idx="14">
                  <c:v>0.49</c:v>
                </c:pt>
                <c:pt idx="15">
                  <c:v>0.5625</c:v>
                </c:pt>
                <c:pt idx="16">
                  <c:v>0.64</c:v>
                </c:pt>
                <c:pt idx="17">
                  <c:v>0.7225</c:v>
                </c:pt>
                <c:pt idx="18">
                  <c:v>0.81</c:v>
                </c:pt>
                <c:pt idx="19">
                  <c:v>0.9025</c:v>
                </c:pt>
                <c:pt idx="20">
                  <c:v>1</c:v>
                </c:pt>
                <c:pt idx="21">
                  <c:v>1.050625</c:v>
                </c:pt>
                <c:pt idx="22">
                  <c:v>1.1025</c:v>
                </c:pt>
                <c:pt idx="23">
                  <c:v>1.21</c:v>
                </c:pt>
                <c:pt idx="24">
                  <c:v>1.3225</c:v>
                </c:pt>
                <c:pt idx="25">
                  <c:v>1.44</c:v>
                </c:pt>
                <c:pt idx="26">
                  <c:v>1.5625</c:v>
                </c:pt>
                <c:pt idx="27">
                  <c:v>1.69</c:v>
                </c:pt>
                <c:pt idx="28">
                  <c:v>1.8225</c:v>
                </c:pt>
                <c:pt idx="29">
                  <c:v>1.96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"Critical Threshold (η = 1.0)"</c:f>
              <c:strCache>
                <c:ptCount val="1"/>
                <c:pt idx="0">
                  <c:v>Critical Threshold (η = 1.0)</c:v>
                </c:pt>
              </c:strCache>
            </c:strRef>
          </c:tx>
          <c:spPr>
            <a:solidFill>
              <a:srgbClr val="ff0000"/>
            </a:solidFill>
            <a:ln w="1908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10 Data'!$E$2:$E$3</c:f>
              <c:numCache>
                <c:formatCode>General</c:formatCode>
                <c:ptCount val="2"/>
                <c:pt idx="0">
                  <c:v>0</c:v>
                </c:pt>
                <c:pt idx="1">
                  <c:v>1.4</c:v>
                </c:pt>
              </c:numCache>
            </c:numRef>
          </c:xVal>
          <c:yVal>
            <c:numRef>
              <c:f>'Figure 10 Data'!$F$2:$F$3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"Operational Target (η = 1.05)"</c:f>
              <c:strCache>
                <c:ptCount val="1"/>
                <c:pt idx="0">
                  <c:v>Operational Target (η = 1.05)</c:v>
                </c:pt>
              </c:strCache>
            </c:strRef>
          </c:tx>
          <c:spPr>
            <a:solidFill>
              <a:srgbClr val="1e8449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1e844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10 Data'!$H$2</c:f>
              <c:numCache>
                <c:formatCode>General</c:formatCode>
                <c:ptCount val="1"/>
                <c:pt idx="0">
                  <c:v>1.025</c:v>
                </c:pt>
              </c:numCache>
            </c:numRef>
          </c:xVal>
          <c:yVal>
            <c:numRef>
              <c:f>'Figure 10 Data'!$I$2</c:f>
              <c:numCache>
                <c:formatCode>General</c:formatCode>
                <c:ptCount val="1"/>
                <c:pt idx="0">
                  <c:v>1.05</c:v>
                </c:pt>
              </c:numCache>
            </c:numRef>
          </c:yVal>
          <c:smooth val="1"/>
        </c:ser>
        <c:axId val="85488793"/>
        <c:axId val="45273865"/>
      </c:scatterChart>
      <c:valAx>
        <c:axId val="85488793"/>
        <c:scaling>
          <c:orientation val="minMax"/>
          <c:max val="1.4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Impact Velocity (v, 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73865"/>
        <c:crosses val="autoZero"/>
        <c:crossBetween val="midCat"/>
      </c:valAx>
      <c:valAx>
        <c:axId val="45273865"/>
        <c:scaling>
          <c:orientation val="minMax"/>
          <c:max val="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Separation Index (η)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8879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22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977832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H1" s="2" t="s">
        <v>5</v>
      </c>
      <c r="I1" s="2" t="s">
        <v>6</v>
      </c>
    </row>
    <row r="2" customFormat="false" ht="15" hidden="false" customHeight="false" outlineLevel="0" collapsed="false">
      <c r="A2" s="3" t="n">
        <v>0</v>
      </c>
      <c r="B2" s="3" t="n">
        <f aca="false">A2^2</f>
        <v>0</v>
      </c>
      <c r="C2" s="4"/>
      <c r="E2" s="0" t="n">
        <v>0</v>
      </c>
      <c r="F2" s="0" t="n">
        <v>1</v>
      </c>
      <c r="H2" s="0" t="n">
        <v>1.025</v>
      </c>
      <c r="I2" s="0" t="n">
        <v>1.05</v>
      </c>
    </row>
    <row r="3" customFormat="false" ht="15" hidden="false" customHeight="false" outlineLevel="0" collapsed="false">
      <c r="A3" s="3" t="n">
        <v>0.05</v>
      </c>
      <c r="B3" s="3" t="n">
        <f aca="false">A3^2</f>
        <v>0.0025</v>
      </c>
      <c r="C3" s="4"/>
      <c r="E3" s="0" t="n">
        <v>1.4</v>
      </c>
      <c r="F3" s="0" t="n">
        <v>1</v>
      </c>
    </row>
    <row r="4" customFormat="false" ht="15" hidden="false" customHeight="false" outlineLevel="0" collapsed="false">
      <c r="A4" s="3" t="n">
        <v>0.1</v>
      </c>
      <c r="B4" s="3" t="n">
        <f aca="false">A4^2</f>
        <v>0.01</v>
      </c>
      <c r="C4" s="4"/>
    </row>
    <row r="5" customFormat="false" ht="15" hidden="false" customHeight="false" outlineLevel="0" collapsed="false">
      <c r="A5" s="3" t="n">
        <v>0.15</v>
      </c>
      <c r="B5" s="3" t="n">
        <f aca="false">A5^2</f>
        <v>0.0225</v>
      </c>
      <c r="C5" s="4"/>
    </row>
    <row r="6" customFormat="false" ht="15" hidden="false" customHeight="false" outlineLevel="0" collapsed="false">
      <c r="A6" s="3" t="n">
        <v>0.2</v>
      </c>
      <c r="B6" s="3" t="n">
        <f aca="false">A6^2</f>
        <v>0.04</v>
      </c>
      <c r="C6" s="4"/>
    </row>
    <row r="7" customFormat="false" ht="15" hidden="false" customHeight="false" outlineLevel="0" collapsed="false">
      <c r="A7" s="3" t="n">
        <v>0.25</v>
      </c>
      <c r="B7" s="3" t="n">
        <f aca="false">A7^2</f>
        <v>0.0625</v>
      </c>
      <c r="C7" s="4"/>
    </row>
    <row r="8" customFormat="false" ht="15" hidden="false" customHeight="false" outlineLevel="0" collapsed="false">
      <c r="A8" s="3" t="n">
        <v>0.3</v>
      </c>
      <c r="B8" s="3" t="n">
        <f aca="false">A8^2</f>
        <v>0.09</v>
      </c>
      <c r="C8" s="4"/>
    </row>
    <row r="9" customFormat="false" ht="15" hidden="false" customHeight="false" outlineLevel="0" collapsed="false">
      <c r="A9" s="3" t="n">
        <v>0.35</v>
      </c>
      <c r="B9" s="3" t="n">
        <f aca="false">A9^2</f>
        <v>0.1225</v>
      </c>
      <c r="C9" s="4"/>
    </row>
    <row r="10" customFormat="false" ht="15" hidden="false" customHeight="false" outlineLevel="0" collapsed="false">
      <c r="A10" s="3" t="n">
        <v>0.4</v>
      </c>
      <c r="B10" s="3" t="n">
        <f aca="false">A10^2</f>
        <v>0.16</v>
      </c>
      <c r="C10" s="4"/>
    </row>
    <row r="11" customFormat="false" ht="15" hidden="false" customHeight="false" outlineLevel="0" collapsed="false">
      <c r="A11" s="3" t="n">
        <v>0.45</v>
      </c>
      <c r="B11" s="3" t="n">
        <f aca="false">A11^2</f>
        <v>0.2025</v>
      </c>
      <c r="C11" s="4"/>
    </row>
    <row r="12" customFormat="false" ht="15" hidden="false" customHeight="false" outlineLevel="0" collapsed="false">
      <c r="A12" s="3" t="n">
        <v>0.5</v>
      </c>
      <c r="B12" s="3" t="n">
        <f aca="false">A12^2</f>
        <v>0.25</v>
      </c>
      <c r="C12" s="4"/>
    </row>
    <row r="13" customFormat="false" ht="15" hidden="false" customHeight="false" outlineLevel="0" collapsed="false">
      <c r="A13" s="3" t="n">
        <v>0.55</v>
      </c>
      <c r="B13" s="3" t="n">
        <f aca="false">A13^2</f>
        <v>0.3025</v>
      </c>
      <c r="C13" s="4"/>
    </row>
    <row r="14" customFormat="false" ht="15" hidden="false" customHeight="false" outlineLevel="0" collapsed="false">
      <c r="A14" s="3" t="n">
        <v>0.6</v>
      </c>
      <c r="B14" s="3" t="n">
        <f aca="false">A14^2</f>
        <v>0.36</v>
      </c>
      <c r="C14" s="4"/>
    </row>
    <row r="15" customFormat="false" ht="15" hidden="false" customHeight="false" outlineLevel="0" collapsed="false">
      <c r="A15" s="3" t="n">
        <v>0.65</v>
      </c>
      <c r="B15" s="3" t="n">
        <f aca="false">A15^2</f>
        <v>0.4225</v>
      </c>
      <c r="C15" s="4"/>
    </row>
    <row r="16" customFormat="false" ht="15" hidden="false" customHeight="false" outlineLevel="0" collapsed="false">
      <c r="A16" s="3" t="n">
        <v>0.7</v>
      </c>
      <c r="B16" s="3" t="n">
        <f aca="false">A16^2</f>
        <v>0.49</v>
      </c>
      <c r="C16" s="4"/>
    </row>
    <row r="17" customFormat="false" ht="15" hidden="false" customHeight="false" outlineLevel="0" collapsed="false">
      <c r="A17" s="3" t="n">
        <v>0.75</v>
      </c>
      <c r="B17" s="3" t="n">
        <f aca="false">A17^2</f>
        <v>0.5625</v>
      </c>
      <c r="C17" s="4"/>
    </row>
    <row r="18" customFormat="false" ht="15" hidden="false" customHeight="false" outlineLevel="0" collapsed="false">
      <c r="A18" s="3" t="n">
        <v>0.8</v>
      </c>
      <c r="B18" s="3" t="n">
        <f aca="false">A18^2</f>
        <v>0.64</v>
      </c>
      <c r="C18" s="4"/>
    </row>
    <row r="19" customFormat="false" ht="15" hidden="false" customHeight="false" outlineLevel="0" collapsed="false">
      <c r="A19" s="3" t="n">
        <v>0.85</v>
      </c>
      <c r="B19" s="3" t="n">
        <f aca="false">A19^2</f>
        <v>0.7225</v>
      </c>
      <c r="C19" s="4"/>
    </row>
    <row r="20" customFormat="false" ht="15" hidden="false" customHeight="false" outlineLevel="0" collapsed="false">
      <c r="A20" s="3" t="n">
        <v>0.9</v>
      </c>
      <c r="B20" s="3" t="n">
        <f aca="false">A20^2</f>
        <v>0.81</v>
      </c>
      <c r="C20" s="4"/>
    </row>
    <row r="21" customFormat="false" ht="15" hidden="false" customHeight="false" outlineLevel="0" collapsed="false">
      <c r="A21" s="3" t="n">
        <v>0.95</v>
      </c>
      <c r="B21" s="3" t="n">
        <f aca="false">A21^2</f>
        <v>0.9025</v>
      </c>
      <c r="C21" s="4"/>
    </row>
    <row r="22" customFormat="false" ht="15" hidden="false" customHeight="false" outlineLevel="0" collapsed="false">
      <c r="A22" s="5" t="n">
        <v>1</v>
      </c>
      <c r="B22" s="5" t="n">
        <f aca="false">A22^2</f>
        <v>1</v>
      </c>
      <c r="C22" s="6" t="s">
        <v>7</v>
      </c>
    </row>
    <row r="23" customFormat="false" ht="15" hidden="false" customHeight="false" outlineLevel="0" collapsed="false">
      <c r="A23" s="5" t="n">
        <v>1.025</v>
      </c>
      <c r="B23" s="5" t="n">
        <f aca="false">A23^2</f>
        <v>1.050625</v>
      </c>
      <c r="C23" s="6" t="s">
        <v>8</v>
      </c>
    </row>
    <row r="24" customFormat="false" ht="15" hidden="false" customHeight="false" outlineLevel="0" collapsed="false">
      <c r="A24" s="3" t="n">
        <v>1.05</v>
      </c>
      <c r="B24" s="3" t="n">
        <f aca="false">A24^2</f>
        <v>1.1025</v>
      </c>
      <c r="C24" s="4"/>
    </row>
    <row r="25" customFormat="false" ht="15" hidden="false" customHeight="false" outlineLevel="0" collapsed="false">
      <c r="A25" s="3" t="n">
        <v>1.1</v>
      </c>
      <c r="B25" s="3" t="n">
        <f aca="false">A25^2</f>
        <v>1.21</v>
      </c>
      <c r="C25" s="4"/>
    </row>
    <row r="26" customFormat="false" ht="15" hidden="false" customHeight="false" outlineLevel="0" collapsed="false">
      <c r="A26" s="3" t="n">
        <v>1.15</v>
      </c>
      <c r="B26" s="3" t="n">
        <f aca="false">A26^2</f>
        <v>1.3225</v>
      </c>
      <c r="C26" s="4"/>
    </row>
    <row r="27" customFormat="false" ht="15" hidden="false" customHeight="false" outlineLevel="0" collapsed="false">
      <c r="A27" s="3" t="n">
        <v>1.2</v>
      </c>
      <c r="B27" s="3" t="n">
        <f aca="false">A27^2</f>
        <v>1.44</v>
      </c>
      <c r="C27" s="4"/>
    </row>
    <row r="28" customFormat="false" ht="15" hidden="false" customHeight="false" outlineLevel="0" collapsed="false">
      <c r="A28" s="3" t="n">
        <v>1.25</v>
      </c>
      <c r="B28" s="3" t="n">
        <f aca="false">A28^2</f>
        <v>1.5625</v>
      </c>
      <c r="C28" s="4"/>
    </row>
    <row r="29" customFormat="false" ht="15" hidden="false" customHeight="false" outlineLevel="0" collapsed="false">
      <c r="A29" s="3" t="n">
        <v>1.3</v>
      </c>
      <c r="B29" s="3" t="n">
        <f aca="false">A29^2</f>
        <v>1.69</v>
      </c>
      <c r="C29" s="4"/>
    </row>
    <row r="30" customFormat="false" ht="15" hidden="false" customHeight="false" outlineLevel="0" collapsed="false">
      <c r="A30" s="3" t="n">
        <v>1.35</v>
      </c>
      <c r="B30" s="3" t="n">
        <f aca="false">A30^2</f>
        <v>1.8225</v>
      </c>
      <c r="C30" s="4"/>
    </row>
    <row r="31" customFormat="false" ht="15" hidden="false" customHeight="false" outlineLevel="0" collapsed="false">
      <c r="A31" s="3" t="n">
        <v>1.4</v>
      </c>
      <c r="B31" s="3" t="n">
        <f aca="false">A31^2</f>
        <v>1.96</v>
      </c>
      <c r="C31" s="4"/>
    </row>
    <row r="33" customFormat="false" ht="27.75" hidden="false" customHeight="true" outlineLevel="0" collapsed="false">
      <c r="A33" s="7" t="s">
        <v>9</v>
      </c>
      <c r="B33" s="7"/>
      <c r="C33" s="7"/>
    </row>
  </sheetData>
  <mergeCells count="1"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2026-09-27T21:07:07Z</dcterms:created>
  <dc:creator>openpyxl</dc:creator>
  <dc:description/>
  <dc:language>en-US</dc:language>
  <cp:lastModifiedBy/>
  <dcterms:modified xsi:type="dcterms:W3CDTF">2026-09-27T21:07:11Z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